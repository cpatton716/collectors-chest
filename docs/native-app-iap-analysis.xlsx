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 &amp; Summary" sheetId="1" state="visible" r:id="rId1"/>
    <sheet xmlns:r="http://schemas.openxmlformats.org/officeDocument/2006/relationships" name="Baseline (all Stripe)" sheetId="2" state="visible" r:id="rId2"/>
    <sheet xmlns:r="http://schemas.openxmlformats.org/officeDocument/2006/relationships" name="Option A - Apple IAP + Stripe" sheetId="3" state="visible" r:id="rId3"/>
    <sheet xmlns:r="http://schemas.openxmlformats.org/officeDocument/2006/relationships" name="Option B - Both store billing" sheetId="4" state="visible" r:id="rId4"/>
    <sheet xmlns:r="http://schemas.openxmlformats.org/officeDocument/2006/relationships" name="Option C - Web-only upgrades" sheetId="5" state="visible" r:id="rId5"/>
    <sheet xmlns:r="http://schemas.openxmlformats.org/officeDocument/2006/relationships" name="Option D - iOS free-only" sheetId="6" state="visible" r:id="rId6"/>
    <sheet xmlns:r="http://schemas.openxmlformats.org/officeDocument/2006/relationships" name="Growth 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;[Red]-&quot;$&quot;#,##0"/>
    <numFmt numFmtId="167" formatCode="0.000"/>
    <numFmt numFmtId="168" formatCode="0.00&quot;x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  <sz val="12"/>
    </font>
    <font>
      <b val="1"/>
      <sz val="11"/>
    </font>
    <font>
      <b val="1"/>
      <color rgb="000B5394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3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6" borderId="0" pivotButton="0" quotePrefix="0" xfId="0"/>
    <xf numFmtId="165" fontId="6" fillId="6" borderId="0" pivotButton="0" quotePrefix="0" xfId="0"/>
    <xf numFmtId="164" fontId="6" fillId="6" borderId="0" pivotButton="0" quotePrefix="0" xfId="0"/>
    <xf numFmtId="164" fontId="6" fillId="7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3" fontId="0" fillId="8" borderId="0" pivotButton="0" quotePrefix="0" xfId="0"/>
    <xf numFmtId="165" fontId="0" fillId="8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167" fontId="0" fillId="0" borderId="0" pivotButton="0" quotePrefix="0" xfId="0"/>
    <xf numFmtId="3" fontId="0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Native App IAP Analysis — Partner Review</t>
        </is>
      </c>
    </row>
    <row r="2">
      <c r="A2" s="2" t="inlineStr">
        <is>
          <t>Edit yellow cells to model different scenarios. All other tabs update automatically.</t>
        </is>
      </c>
    </row>
    <row r="4">
      <c r="A4" s="3" t="inlineStr">
        <is>
          <t>ASSUMPTIONS (edit yellow cells)</t>
        </is>
      </c>
    </row>
    <row r="5">
      <c r="A5" s="4" t="inlineStr">
        <is>
          <t>Parameter</t>
        </is>
      </c>
      <c r="B5" s="4" t="inlineStr">
        <is>
          <t>Value</t>
        </is>
      </c>
      <c r="C5" s="4" t="inlineStr">
        <is>
          <t>Notes</t>
        </is>
      </c>
    </row>
    <row r="6">
      <c r="A6" t="inlineStr">
        <is>
          <t>Total users</t>
        </is>
      </c>
      <c r="B6" s="5" t="n">
        <v>10000</v>
      </c>
      <c r="C6" s="2" t="inlineStr">
        <is>
          <t>Overall user base</t>
        </is>
      </c>
    </row>
    <row r="7">
      <c r="A7" t="inlineStr">
        <is>
          <t>Monthly subscribers</t>
        </is>
      </c>
      <c r="B7" s="5" t="n">
        <v>3000</v>
      </c>
      <c r="C7" s="2" t="inlineStr">
        <is>
          <t>Paying $4.99/mo</t>
        </is>
      </c>
    </row>
    <row r="8">
      <c r="A8" t="inlineStr">
        <is>
          <t>Annual subscribers</t>
        </is>
      </c>
      <c r="B8" s="5" t="n">
        <v>2000</v>
      </c>
      <c r="C8" s="2" t="inlineStr">
        <is>
          <t>Paying $49.99/yr</t>
        </is>
      </c>
    </row>
    <row r="9">
      <c r="A9" t="inlineStr">
        <is>
          <t>Scan pack buyers (annual)</t>
        </is>
      </c>
      <c r="B9" s="5" t="n">
        <v>3000</v>
      </c>
      <c r="C9" s="2" t="inlineStr">
        <is>
          <t>$1.99/10 scans</t>
        </is>
      </c>
    </row>
    <row r="11">
      <c r="A11" t="inlineStr">
        <is>
          <t>Monthly sub price</t>
        </is>
      </c>
      <c r="B11" s="6" t="n">
        <v>4.99</v>
      </c>
      <c r="C11" s="2" t="inlineStr"/>
    </row>
    <row r="12">
      <c r="A12" t="inlineStr">
        <is>
          <t>Annual sub price</t>
        </is>
      </c>
      <c r="B12" s="6" t="n">
        <v>49.99</v>
      </c>
      <c r="C12" s="2" t="inlineStr"/>
    </row>
    <row r="13">
      <c r="A13" t="inlineStr">
        <is>
          <t>Scan pack price</t>
        </is>
      </c>
      <c r="B13" s="6" t="n">
        <v>1.99</v>
      </c>
      <c r="C13" s="2" t="inlineStr"/>
    </row>
    <row r="15">
      <c r="A15" t="inlineStr">
        <is>
          <t>iOS share of premium users</t>
        </is>
      </c>
      <c r="B15" s="7" t="n">
        <v>0.5</v>
      </c>
      <c r="C15" s="2" t="inlineStr">
        <is>
          <t>% using iOS app</t>
        </is>
      </c>
    </row>
    <row r="16">
      <c r="A16" t="inlineStr">
        <is>
          <t>Android share</t>
        </is>
      </c>
      <c r="B16" s="7" t="n">
        <v>0.4</v>
      </c>
      <c r="C16" s="2" t="inlineStr">
        <is>
          <t>% using Android app</t>
        </is>
      </c>
    </row>
    <row r="17">
      <c r="A17" t="inlineStr">
        <is>
          <t>Web share</t>
        </is>
      </c>
      <c r="B17" s="7" t="n">
        <v>0.1</v>
      </c>
      <c r="C17" s="2" t="inlineStr">
        <is>
          <t>% web-only (always Stripe)</t>
        </is>
      </c>
    </row>
    <row r="19">
      <c r="A19" t="inlineStr">
        <is>
          <t>Apple fee rate (SBP)</t>
        </is>
      </c>
      <c r="B19" s="7" t="n">
        <v>0.15</v>
      </c>
      <c r="C19" s="2" t="inlineStr">
        <is>
          <t>15% under $1M/yr dev revenue; 30% standard</t>
        </is>
      </c>
    </row>
    <row r="20">
      <c r="A20" t="inlineStr">
        <is>
          <t>Google Play fee (SBP)</t>
        </is>
      </c>
      <c r="B20" s="7" t="n">
        <v>0.15</v>
      </c>
      <c r="C20" s="2" t="inlineStr">
        <is>
          <t>15% under $1M/yr</t>
        </is>
      </c>
    </row>
    <row r="21">
      <c r="A21" t="inlineStr">
        <is>
          <t>Stripe percent fee</t>
        </is>
      </c>
      <c r="B21" s="7" t="n">
        <v>0.029</v>
      </c>
      <c r="C21" s="2" t="inlineStr">
        <is>
          <t>2.9% per transaction</t>
        </is>
      </c>
    </row>
    <row r="22">
      <c r="A22" t="inlineStr">
        <is>
          <t>Stripe flat fee per txn</t>
        </is>
      </c>
      <c r="B22" s="6" t="n">
        <v>0.3</v>
      </c>
      <c r="C22" s="2" t="inlineStr"/>
    </row>
    <row r="24">
      <c r="A24" t="inlineStr">
        <is>
          <t>Opt C: iOS→web conversion</t>
        </is>
      </c>
      <c r="B24" s="7" t="n">
        <v>0.6</v>
      </c>
      <c r="C24" s="2" t="inlineStr">
        <is>
          <t>% of iOS users who'd pay who follow through when forced to web</t>
        </is>
      </c>
    </row>
    <row r="25">
      <c r="A25" t="inlineStr">
        <is>
          <t>Opt D: iOS→web conversion</t>
        </is>
      </c>
      <c r="B25" s="7" t="n">
        <v>0.2</v>
      </c>
      <c r="C25" s="2" t="inlineStr">
        <is>
          <t>% of iOS users who give up premium vs switching to web</t>
        </is>
      </c>
    </row>
    <row r="28">
      <c r="A28" s="3" t="inlineStr">
        <is>
          <t>CHANNEL GROSS REVENUE (derived)</t>
        </is>
      </c>
    </row>
    <row r="29">
      <c r="A29" s="4" t="inlineStr">
        <is>
          <t>Channel</t>
        </is>
      </c>
      <c r="B29" s="4" t="inlineStr">
        <is>
          <t>Share</t>
        </is>
      </c>
      <c r="C29" s="4" t="inlineStr">
        <is>
          <t>Monthly subs gross</t>
        </is>
      </c>
      <c r="D29" s="4" t="inlineStr">
        <is>
          <t>Annual subs gross</t>
        </is>
      </c>
      <c r="E29" s="4" t="inlineStr">
        <is>
          <t>Scan packs gross</t>
        </is>
      </c>
      <c r="F29" s="4" t="inlineStr">
        <is>
          <t>Total gross</t>
        </is>
      </c>
    </row>
    <row r="30">
      <c r="A30" s="8" t="inlineStr">
        <is>
          <t>iOS</t>
        </is>
      </c>
      <c r="B30" s="9">
        <f>'Parameters &amp; Summary'!$B$15</f>
        <v/>
      </c>
      <c r="C30" s="10">
        <f>'Parameters &amp; Summary'!$B$15*'Parameters &amp; Summary'!$B$7*'Parameters &amp; Summary'!$B$11*12</f>
        <v/>
      </c>
      <c r="D30" s="10">
        <f>'Parameters &amp; Summary'!$B$15*'Parameters &amp; Summary'!$B$8*'Parameters &amp; Summary'!$B$12</f>
        <v/>
      </c>
      <c r="E30" s="10">
        <f>'Parameters &amp; Summary'!$B$15*'Parameters &amp; Summary'!$B$9*'Parameters &amp; Summary'!$B$13</f>
        <v/>
      </c>
      <c r="F30" s="10">
        <f>SUM(C30:E30)</f>
        <v/>
      </c>
    </row>
    <row r="31">
      <c r="A31" s="8" t="inlineStr">
        <is>
          <t>Android</t>
        </is>
      </c>
      <c r="B31" s="9">
        <f>'Parameters &amp; Summary'!$B$16</f>
        <v/>
      </c>
      <c r="C31" s="10">
        <f>'Parameters &amp; Summary'!$B$16*'Parameters &amp; Summary'!$B$7*'Parameters &amp; Summary'!$B$11*12</f>
        <v/>
      </c>
      <c r="D31" s="10">
        <f>'Parameters &amp; Summary'!$B$16*'Parameters &amp; Summary'!$B$8*'Parameters &amp; Summary'!$B$12</f>
        <v/>
      </c>
      <c r="E31" s="10">
        <f>'Parameters &amp; Summary'!$B$16*'Parameters &amp; Summary'!$B$9*'Parameters &amp; Summary'!$B$13</f>
        <v/>
      </c>
      <c r="F31" s="10">
        <f>SUM(C31:E31)</f>
        <v/>
      </c>
    </row>
    <row r="32">
      <c r="A32" s="8" t="inlineStr">
        <is>
          <t>Web</t>
        </is>
      </c>
      <c r="B32" s="9">
        <f>'Parameters &amp; Summary'!$B$17</f>
        <v/>
      </c>
      <c r="C32" s="10">
        <f>'Parameters &amp; Summary'!$B$17*'Parameters &amp; Summary'!$B$7*'Parameters &amp; Summary'!$B$11*12</f>
        <v/>
      </c>
      <c r="D32" s="10">
        <f>'Parameters &amp; Summary'!$B$17*'Parameters &amp; Summary'!$B$8*'Parameters &amp; Summary'!$B$12</f>
        <v/>
      </c>
      <c r="E32" s="10">
        <f>'Parameters &amp; Summary'!$B$17*'Parameters &amp; Summary'!$B$9*'Parameters &amp; Summary'!$B$13</f>
        <v/>
      </c>
      <c r="F32" s="10">
        <f>SUM(C32:E32)</f>
        <v/>
      </c>
    </row>
    <row r="33">
      <c r="A33" s="11" t="inlineStr">
        <is>
          <t>Total</t>
        </is>
      </c>
      <c r="B33" s="12">
        <f>SUM(B30:B32)</f>
        <v/>
      </c>
      <c r="C33" s="13">
        <f>SUM(C30:C32)</f>
        <v/>
      </c>
      <c r="D33" s="13">
        <f>SUM(D30:D32)</f>
        <v/>
      </c>
      <c r="E33" s="13">
        <f>SUM(E30:E32)</f>
        <v/>
      </c>
      <c r="F33" s="13">
        <f>SUM(F30:F32)</f>
        <v/>
      </c>
    </row>
    <row r="35">
      <c r="A35" s="3" t="inlineStr">
        <is>
          <t>STRIPE FEES PER CHANNEL (if channel is on Stripe)</t>
        </is>
      </c>
    </row>
    <row r="36">
      <c r="A36" s="4" t="inlineStr">
        <is>
          <t>Channel</t>
        </is>
      </c>
      <c r="B36" s="4" t="inlineStr">
        <is>
          <t>Stripe fees</t>
        </is>
      </c>
    </row>
    <row r="37">
      <c r="A37" s="8" t="inlineStr">
        <is>
          <t>iOS</t>
        </is>
      </c>
      <c r="B37" s="10">
        <f>('Parameters &amp; Summary'!$B$15*'Parameters &amp; Summary'!$B$7*12*('Parameters &amp; Summary'!$B$11*'Parameters &amp; Summary'!$B$21+'Parameters &amp; Summary'!$B$22))+('Parameters &amp; Summary'!$B$15*'Parameters &amp; Summary'!$B$8*('Parameters &amp; Summary'!$B$12*'Parameters &amp; Summary'!$B$21+'Parameters &amp; Summary'!$B$22))+('Parameters &amp; Summary'!$B$15*'Parameters &amp; Summary'!$B$9*('Parameters &amp; Summary'!$B$13*'Parameters &amp; Summary'!$B$21+'Parameters &amp; Summary'!$B$22))</f>
        <v/>
      </c>
    </row>
    <row r="38">
      <c r="A38" s="8" t="inlineStr">
        <is>
          <t>Android</t>
        </is>
      </c>
      <c r="B38" s="10">
        <f>('Parameters &amp; Summary'!$B$16*'Parameters &amp; Summary'!$B$7*12*('Parameters &amp; Summary'!$B$11*'Parameters &amp; Summary'!$B$21+'Parameters &amp; Summary'!$B$22))+('Parameters &amp; Summary'!$B$16*'Parameters &amp; Summary'!$B$8*('Parameters &amp; Summary'!$B$12*'Parameters &amp; Summary'!$B$21+'Parameters &amp; Summary'!$B$22))+('Parameters &amp; Summary'!$B$16*'Parameters &amp; Summary'!$B$9*('Parameters &amp; Summary'!$B$13*'Parameters &amp; Summary'!$B$21+'Parameters &amp; Summary'!$B$22))</f>
        <v/>
      </c>
    </row>
    <row r="39">
      <c r="A39" s="8" t="inlineStr">
        <is>
          <t>Web</t>
        </is>
      </c>
      <c r="B39" s="10">
        <f>('Parameters &amp; Summary'!$B$17*'Parameters &amp; Summary'!$B$7*12*('Parameters &amp; Summary'!$B$11*'Parameters &amp; Summary'!$B$21+'Parameters &amp; Summary'!$B$22))+('Parameters &amp; Summary'!$B$17*'Parameters &amp; Summary'!$B$8*('Parameters &amp; Summary'!$B$12*'Parameters &amp; Summary'!$B$21+'Parameters &amp; Summary'!$B$22))+('Parameters &amp; Summary'!$B$17*'Parameters &amp; Summary'!$B$9*('Parameters &amp; Summary'!$B$13*'Parameters &amp; Summary'!$B$21+'Parameters &amp; Summary'!$B$22))</f>
        <v/>
      </c>
    </row>
    <row r="42">
      <c r="A42" s="3" t="inlineStr">
        <is>
          <t>SIDE-BY-SIDE STRATEGY COMPARISON</t>
        </is>
      </c>
    </row>
    <row r="43">
      <c r="A43" s="4" t="inlineStr">
        <is>
          <t>Strategy</t>
        </is>
      </c>
      <c r="B43" s="4" t="inlineStr">
        <is>
          <t>Apple fee</t>
        </is>
      </c>
      <c r="C43" s="4" t="inlineStr">
        <is>
          <t>Google fee</t>
        </is>
      </c>
      <c r="D43" s="4" t="inlineStr">
        <is>
          <t>Stripe fees</t>
        </is>
      </c>
      <c r="E43" s="4" t="inlineStr">
        <is>
          <t>Total fees</t>
        </is>
      </c>
      <c r="F43" s="4" t="inlineStr">
        <is>
          <t>Net revenue</t>
        </is>
      </c>
      <c r="G43" s="4" t="inlineStr">
        <is>
          <t>vs Baseline</t>
        </is>
      </c>
      <c r="H43" s="4" t="inlineStr">
        <is>
          <t>% hit to net</t>
        </is>
      </c>
    </row>
    <row r="44">
      <c r="A44" s="8" t="inlineStr">
        <is>
          <t>Baseline (all Stripe, web only)</t>
        </is>
      </c>
      <c r="B44" s="10" t="n">
        <v>0</v>
      </c>
      <c r="C44" s="10" t="n">
        <v>0</v>
      </c>
      <c r="D44" s="10">
        <f>'Parameters &amp; Summary'!$B$37+'Parameters &amp; Summary'!$B$38+'Parameters &amp; Summary'!$B$39</f>
        <v/>
      </c>
      <c r="E44" s="10">
        <f>B44+C44+D44</f>
        <v/>
      </c>
      <c r="F44" s="14">
        <f>'Parameters &amp; Summary'!$F$33-E44</f>
        <v/>
      </c>
      <c r="G44" s="15">
        <f>F44-$F$44</f>
        <v/>
      </c>
      <c r="H44" s="9">
        <f>(F44-$F$44)/$F$44</f>
        <v/>
      </c>
    </row>
    <row r="45">
      <c r="A45" s="8" t="inlineStr">
        <is>
          <t>A — Apple IAP + Stripe (Android+Web)</t>
        </is>
      </c>
      <c r="B45" s="10">
        <f>'Parameters &amp; Summary'!$F$30*'Parameters &amp; Summary'!$B$19</f>
        <v/>
      </c>
      <c r="C45" s="10" t="n">
        <v>0</v>
      </c>
      <c r="D45" s="10">
        <f>'Parameters &amp; Summary'!$B$38+'Parameters &amp; Summary'!$B$39</f>
        <v/>
      </c>
      <c r="E45" s="10">
        <f>B45+C45+D45</f>
        <v/>
      </c>
      <c r="F45" s="14">
        <f>'Parameters &amp; Summary'!$F$33-E45</f>
        <v/>
      </c>
      <c r="G45" s="15">
        <f>F45-$F$44</f>
        <v/>
      </c>
      <c r="H45" s="9">
        <f>(F45-$F$44)/$F$44</f>
        <v/>
      </c>
    </row>
    <row r="46">
      <c r="A46" s="8" t="inlineStr">
        <is>
          <t>B — Apple IAP + Google Play (Web on Stripe)</t>
        </is>
      </c>
      <c r="B46" s="10">
        <f>'Parameters &amp; Summary'!$F$30*'Parameters &amp; Summary'!$B$19</f>
        <v/>
      </c>
      <c r="C46" s="10">
        <f>'Parameters &amp; Summary'!$F$31*'Parameters &amp; Summary'!$B$20</f>
        <v/>
      </c>
      <c r="D46" s="10">
        <f>'Parameters &amp; Summary'!$B$39</f>
        <v/>
      </c>
      <c r="E46" s="10">
        <f>B46+C46+D46</f>
        <v/>
      </c>
      <c r="F46" s="14">
        <f>'Parameters &amp; Summary'!$F$33-E46</f>
        <v/>
      </c>
      <c r="G46" s="15">
        <f>F46-$F$44</f>
        <v/>
      </c>
      <c r="H46" s="9">
        <f>(F46-$F$44)/$F$44</f>
        <v/>
      </c>
    </row>
    <row r="47">
      <c r="A47" s="8" t="inlineStr">
        <is>
          <t>C — Web-only iOS upgrades</t>
        </is>
      </c>
      <c r="B47" s="10" t="n">
        <v>0</v>
      </c>
      <c r="C47" s="10" t="n">
        <v>0</v>
      </c>
      <c r="D47" s="10">
        <f>('Parameters &amp; Summary'!$B$37*'Parameters &amp; Summary'!$B$24)+'Parameters &amp; Summary'!$B$38+'Parameters &amp; Summary'!$B$39</f>
        <v/>
      </c>
      <c r="E47" s="10">
        <f>B47+C47+D47</f>
        <v/>
      </c>
      <c r="F47" s="14">
        <f>('Parameters &amp; Summary'!$F$30*'Parameters &amp; Summary'!$B$24)+'Parameters &amp; Summary'!$F$31+'Parameters &amp; Summary'!$F$32-E47</f>
        <v/>
      </c>
      <c r="G47" s="15">
        <f>F47-$F$44</f>
        <v/>
      </c>
      <c r="H47" s="9">
        <f>(F47-$F$44)/$F$44</f>
        <v/>
      </c>
    </row>
    <row r="48">
      <c r="A48" s="8" t="inlineStr">
        <is>
          <t>D — iOS free-only (no iOS upgrades)</t>
        </is>
      </c>
      <c r="B48" s="10" t="n">
        <v>0</v>
      </c>
      <c r="C48" s="10" t="n">
        <v>0</v>
      </c>
      <c r="D48" s="10">
        <f>('Parameters &amp; Summary'!$B$37*'Parameters &amp; Summary'!$B$25)+'Parameters &amp; Summary'!$B$38+'Parameters &amp; Summary'!$B$39</f>
        <v/>
      </c>
      <c r="E48" s="10">
        <f>B48+C48+D48</f>
        <v/>
      </c>
      <c r="F48" s="14">
        <f>('Parameters &amp; Summary'!$F$30*'Parameters &amp; Summary'!$B$25)+'Parameters &amp; Summary'!$F$31+'Parameters &amp; Summary'!$F$32-E48</f>
        <v/>
      </c>
      <c r="G48" s="15">
        <f>F48-$F$44</f>
        <v/>
      </c>
      <c r="H48" s="9">
        <f>(F48-$F$44)/$F$44</f>
        <v/>
      </c>
    </row>
    <row r="51">
      <c r="A51" s="3" t="inlineStr">
        <is>
          <t>KEY TAKEAWAYS</t>
        </is>
      </c>
    </row>
    <row r="52" ht="28" customHeight="1">
      <c r="A52" s="16" t="inlineStr">
        <is>
          <t>1. Apple's auction marketplace is unaffected — physical goods are exempt from IAP. Only Premium + scan packs trigger Apple/Google fees.</t>
        </is>
      </c>
    </row>
    <row r="53" ht="28" customHeight="1">
      <c r="A53" s="16" t="inlineStr">
        <is>
          <t>2. Option A (dual rails) is the sweet spot — Apple takes ~4% of net, but the alternative (web-only) loses 20%+ to conversion drop.</t>
        </is>
      </c>
    </row>
    <row r="54" ht="28" customHeight="1">
      <c r="A54" s="16" t="inlineStr">
        <is>
          <t>3. Small Business Program critical: 15% applies under $1M/yr dev revenue. Above that, Apple = 30% y1 subs + 30% consumables (15% on y2+ renewals).</t>
        </is>
      </c>
    </row>
    <row r="55" ht="28" customHeight="1">
      <c r="A55" s="16" t="inlineStr">
        <is>
          <t>4. Scan packs are the worst IAP economics (always consumable = 30% standard) but small absolute dollars ($5,970 gross).</t>
        </is>
      </c>
    </row>
    <row r="56" ht="28" customHeight="1">
      <c r="A56" s="16" t="inlineStr">
        <is>
          <t>5. Engineering cost of IAP: ~3–4 weeks upfront to build StoreKit/Play Billing + receipt validation + entitlement sync. Ongoing maintenance.</t>
        </is>
      </c>
    </row>
    <row r="57" ht="28" customHeight="1">
      <c r="A57" s="16" t="inlineStr">
        <is>
          <t>6. Reader-app exception: unlikely to qualify because scanning is a core digital feature. Spotify/Netflix-style carveout doesn't fit Collectors Chest.</t>
        </is>
      </c>
    </row>
    <row r="58" ht="28" customHeight="1">
      <c r="A58" s="16" t="inlineStr">
        <is>
          <t>7. EU (Digital Markets Act) now allows external billing on iOS for EU users — could reduce Apple cut for ~20% of international users at scale.</t>
        </is>
      </c>
    </row>
  </sheetData>
  <mergeCells count="14">
    <mergeCell ref="A56:H56"/>
    <mergeCell ref="A4:H4"/>
    <mergeCell ref="A53:H53"/>
    <mergeCell ref="A55:H55"/>
    <mergeCell ref="A35:H35"/>
    <mergeCell ref="A57:H57"/>
    <mergeCell ref="A2:H2"/>
    <mergeCell ref="A51:H51"/>
    <mergeCell ref="A52:H52"/>
    <mergeCell ref="A54:H54"/>
    <mergeCell ref="A28:H28"/>
    <mergeCell ref="A42:H42"/>
    <mergeCell ref="A1:H1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1" t="inlineStr">
        <is>
          <t>Baseline (all Stripe)</t>
        </is>
      </c>
    </row>
    <row r="2" ht="42" customHeight="1">
      <c r="A2" s="17" t="inlineStr">
        <is>
          <t>Current state — web-only, all payments via Stripe. No native apps. No Apple/Google fees. Reference point for all other scenarios.</t>
        </is>
      </c>
    </row>
    <row r="4">
      <c r="A4" s="3" t="inlineStr">
        <is>
          <t>KEY PARAMETERS (linked from Parameters tab)</t>
        </is>
      </c>
    </row>
    <row r="5">
      <c r="A5" s="8" t="inlineStr">
        <is>
          <t>Monthly subs</t>
        </is>
      </c>
      <c r="B5" s="18">
        <f>'Parameters &amp; Summary'!$B$7</f>
        <v/>
      </c>
    </row>
    <row r="6">
      <c r="A6" s="8" t="inlineStr">
        <is>
          <t>Annual subs</t>
        </is>
      </c>
      <c r="B6" s="18">
        <f>'Parameters &amp; Summary'!$B$8</f>
        <v/>
      </c>
    </row>
    <row r="7">
      <c r="A7" s="8" t="inlineStr">
        <is>
          <t>Scan pack buyers/yr</t>
        </is>
      </c>
      <c r="B7" s="18">
        <f>'Parameters &amp; Summary'!$B$9</f>
        <v/>
      </c>
    </row>
    <row r="8">
      <c r="A8" s="8" t="inlineStr">
        <is>
          <t>iOS share</t>
        </is>
      </c>
      <c r="B8" s="19">
        <f>'Parameters &amp; Summary'!$B$15</f>
        <v/>
      </c>
    </row>
    <row r="9">
      <c r="A9" s="8" t="inlineStr">
        <is>
          <t>Android share</t>
        </is>
      </c>
      <c r="B9" s="19">
        <f>'Parameters &amp; Summary'!$B$16</f>
        <v/>
      </c>
    </row>
    <row r="10">
      <c r="A10" s="8" t="inlineStr">
        <is>
          <t>Web share</t>
        </is>
      </c>
      <c r="B10" s="19">
        <f>'Parameters &amp; Summary'!$B$17</f>
        <v/>
      </c>
    </row>
    <row r="11">
      <c r="A11" s="8" t="inlineStr">
        <is>
          <t>Apple fee (SBP)</t>
        </is>
      </c>
      <c r="B11" s="19">
        <f>'Parameters &amp; Summary'!$B$19</f>
        <v/>
      </c>
    </row>
    <row r="12">
      <c r="A12" s="8" t="inlineStr">
        <is>
          <t>Google fee (SBP)</t>
        </is>
      </c>
      <c r="B12" s="19">
        <f>'Parameters &amp; Summary'!$B$20</f>
        <v/>
      </c>
    </row>
    <row r="15">
      <c r="A15" s="3" t="inlineStr">
        <is>
          <t>PER-CHANNEL BREAKDOWN</t>
        </is>
      </c>
    </row>
    <row r="16">
      <c r="A16" s="4" t="inlineStr">
        <is>
          <t>Channel</t>
        </is>
      </c>
      <c r="B16" s="4" t="inlineStr">
        <is>
          <t>Gross</t>
        </is>
      </c>
      <c r="C16" s="4" t="inlineStr">
        <is>
          <t>Apple fee</t>
        </is>
      </c>
      <c r="D16" s="4" t="inlineStr">
        <is>
          <t>Google fee</t>
        </is>
      </c>
      <c r="E16" s="4" t="inlineStr">
        <is>
          <t>Stripe fee</t>
        </is>
      </c>
      <c r="F16" s="4" t="inlineStr">
        <is>
          <t>Net</t>
        </is>
      </c>
    </row>
    <row r="17">
      <c r="A17" s="8" t="inlineStr">
        <is>
          <t>iOS (web)</t>
        </is>
      </c>
      <c r="B17" s="10">
        <f>'Parameters &amp; Summary'!$F$30</f>
        <v/>
      </c>
      <c r="C17" s="10" t="n">
        <v>0</v>
      </c>
      <c r="D17" s="10" t="n">
        <v>0</v>
      </c>
      <c r="E17" s="10">
        <f>'Parameters &amp; Summary'!$B$37</f>
        <v/>
      </c>
      <c r="F17" s="14">
        <f>B17-C17-D17-E17</f>
        <v/>
      </c>
    </row>
    <row r="18">
      <c r="A18" s="8" t="inlineStr">
        <is>
          <t>Android (web)</t>
        </is>
      </c>
      <c r="B18" s="10">
        <f>'Parameters &amp; Summary'!$F$31</f>
        <v/>
      </c>
      <c r="C18" s="10" t="n">
        <v>0</v>
      </c>
      <c r="D18" s="10" t="n">
        <v>0</v>
      </c>
      <c r="E18" s="10">
        <f>'Parameters &amp; Summary'!$B$38</f>
        <v/>
      </c>
      <c r="F18" s="14">
        <f>B18-C18-D18-E18</f>
        <v/>
      </c>
    </row>
    <row r="19">
      <c r="A19" s="8" t="inlineStr">
        <is>
          <t>Web</t>
        </is>
      </c>
      <c r="B19" s="10">
        <f>'Parameters &amp; Summary'!$F$32</f>
        <v/>
      </c>
      <c r="C19" s="10" t="n">
        <v>0</v>
      </c>
      <c r="D19" s="10" t="n">
        <v>0</v>
      </c>
      <c r="E19" s="10">
        <f>'Parameters &amp; Summary'!$B$39</f>
        <v/>
      </c>
      <c r="F19" s="14">
        <f>B19-C19-D19-E19</f>
        <v/>
      </c>
    </row>
    <row r="20">
      <c r="A20" s="11" t="inlineStr">
        <is>
          <t>Total</t>
        </is>
      </c>
      <c r="B20" s="13">
        <f>SUM(B17:B19)</f>
        <v/>
      </c>
      <c r="C20" s="13">
        <f>SUM(C17:C19)</f>
        <v/>
      </c>
      <c r="D20" s="13">
        <f>SUM(D17:D19)</f>
        <v/>
      </c>
      <c r="E20" s="13">
        <f>SUM(E17:E19)</f>
        <v/>
      </c>
      <c r="F20" s="13">
        <f>SUM(F17:F19)</f>
        <v/>
      </c>
    </row>
    <row r="22">
      <c r="A22" s="8" t="inlineStr">
        <is>
          <t>Net vs Baseline</t>
        </is>
      </c>
      <c r="B22" s="15">
        <f>F20-'Parameters &amp; Summary'!$F$44</f>
        <v/>
      </c>
      <c r="C22" s="20" t="inlineStr">
        <is>
          <t>% of baseline net</t>
        </is>
      </c>
      <c r="D22" s="9">
        <f>(F20-'Parameters &amp; Summary'!$F$44)/'Parameters &amp; Summary'!$F$44</f>
        <v/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1" t="inlineStr">
        <is>
          <t>Option A - Apple IAP + Stripe</t>
        </is>
      </c>
    </row>
    <row r="2" ht="42" customHeight="1">
      <c r="A2" s="17" t="inlineStr">
        <is>
          <t>Ship iOS with Apple IAP for Premium + scan packs. Android + Web continue using Stripe (assumes Google Play User Choice Billing). Preserves full iOS revenue minus Apple's 15% SBP cut.</t>
        </is>
      </c>
    </row>
    <row r="4">
      <c r="A4" s="3" t="inlineStr">
        <is>
          <t>KEY PARAMETERS (linked from Parameters tab)</t>
        </is>
      </c>
    </row>
    <row r="5">
      <c r="A5" s="8" t="inlineStr">
        <is>
          <t>Monthly subs</t>
        </is>
      </c>
      <c r="B5" s="18">
        <f>'Parameters &amp; Summary'!$B$7</f>
        <v/>
      </c>
    </row>
    <row r="6">
      <c r="A6" s="8" t="inlineStr">
        <is>
          <t>Annual subs</t>
        </is>
      </c>
      <c r="B6" s="18">
        <f>'Parameters &amp; Summary'!$B$8</f>
        <v/>
      </c>
    </row>
    <row r="7">
      <c r="A7" s="8" t="inlineStr">
        <is>
          <t>Scan pack buyers/yr</t>
        </is>
      </c>
      <c r="B7" s="18">
        <f>'Parameters &amp; Summary'!$B$9</f>
        <v/>
      </c>
    </row>
    <row r="8">
      <c r="A8" s="8" t="inlineStr">
        <is>
          <t>iOS share</t>
        </is>
      </c>
      <c r="B8" s="19">
        <f>'Parameters &amp; Summary'!$B$15</f>
        <v/>
      </c>
    </row>
    <row r="9">
      <c r="A9" s="8" t="inlineStr">
        <is>
          <t>Android share</t>
        </is>
      </c>
      <c r="B9" s="19">
        <f>'Parameters &amp; Summary'!$B$16</f>
        <v/>
      </c>
    </row>
    <row r="10">
      <c r="A10" s="8" t="inlineStr">
        <is>
          <t>Web share</t>
        </is>
      </c>
      <c r="B10" s="19">
        <f>'Parameters &amp; Summary'!$B$17</f>
        <v/>
      </c>
    </row>
    <row r="11">
      <c r="A11" s="8" t="inlineStr">
        <is>
          <t>Apple fee (SBP)</t>
        </is>
      </c>
      <c r="B11" s="19">
        <f>'Parameters &amp; Summary'!$B$19</f>
        <v/>
      </c>
    </row>
    <row r="12">
      <c r="A12" s="8" t="inlineStr">
        <is>
          <t>Google fee (SBP)</t>
        </is>
      </c>
      <c r="B12" s="19">
        <f>'Parameters &amp; Summary'!$B$20</f>
        <v/>
      </c>
    </row>
    <row r="15">
      <c r="A15" s="3" t="inlineStr">
        <is>
          <t>PER-CHANNEL BREAKDOWN</t>
        </is>
      </c>
    </row>
    <row r="16">
      <c r="A16" s="4" t="inlineStr">
        <is>
          <t>Channel</t>
        </is>
      </c>
      <c r="B16" s="4" t="inlineStr">
        <is>
          <t>Gross</t>
        </is>
      </c>
      <c r="C16" s="4" t="inlineStr">
        <is>
          <t>Apple fee</t>
        </is>
      </c>
      <c r="D16" s="4" t="inlineStr">
        <is>
          <t>Google fee</t>
        </is>
      </c>
      <c r="E16" s="4" t="inlineStr">
        <is>
          <t>Stripe fee</t>
        </is>
      </c>
      <c r="F16" s="4" t="inlineStr">
        <is>
          <t>Net</t>
        </is>
      </c>
    </row>
    <row r="17">
      <c r="A17" s="8" t="inlineStr">
        <is>
          <t>iOS (Apple IAP)</t>
        </is>
      </c>
      <c r="B17" s="10">
        <f>'Parameters &amp; Summary'!$F$30</f>
        <v/>
      </c>
      <c r="C17" s="10">
        <f>'Parameters &amp; Summary'!$F$30*'Parameters &amp; Summary'!$B$19</f>
        <v/>
      </c>
      <c r="D17" s="10" t="n">
        <v>0</v>
      </c>
      <c r="E17" s="10" t="n">
        <v>0</v>
      </c>
      <c r="F17" s="14">
        <f>B17-C17-D17-E17</f>
        <v/>
      </c>
    </row>
    <row r="18">
      <c r="A18" s="8" t="inlineStr">
        <is>
          <t>Android (Stripe)</t>
        </is>
      </c>
      <c r="B18" s="10">
        <f>'Parameters &amp; Summary'!$F$31</f>
        <v/>
      </c>
      <c r="C18" s="10" t="n">
        <v>0</v>
      </c>
      <c r="D18" s="10" t="n">
        <v>0</v>
      </c>
      <c r="E18" s="10">
        <f>'Parameters &amp; Summary'!$B$38</f>
        <v/>
      </c>
      <c r="F18" s="14">
        <f>B18-C18-D18-E18</f>
        <v/>
      </c>
    </row>
    <row r="19">
      <c r="A19" s="8" t="inlineStr">
        <is>
          <t>Web (Stripe)</t>
        </is>
      </c>
      <c r="B19" s="10">
        <f>'Parameters &amp; Summary'!$F$32</f>
        <v/>
      </c>
      <c r="C19" s="10" t="n">
        <v>0</v>
      </c>
      <c r="D19" s="10" t="n">
        <v>0</v>
      </c>
      <c r="E19" s="10">
        <f>'Parameters &amp; Summary'!$B$39</f>
        <v/>
      </c>
      <c r="F19" s="14">
        <f>B19-C19-D19-E19</f>
        <v/>
      </c>
    </row>
    <row r="20">
      <c r="A20" s="11" t="inlineStr">
        <is>
          <t>Total</t>
        </is>
      </c>
      <c r="B20" s="13">
        <f>SUM(B17:B19)</f>
        <v/>
      </c>
      <c r="C20" s="13">
        <f>SUM(C17:C19)</f>
        <v/>
      </c>
      <c r="D20" s="13">
        <f>SUM(D17:D19)</f>
        <v/>
      </c>
      <c r="E20" s="13">
        <f>SUM(E17:E19)</f>
        <v/>
      </c>
      <c r="F20" s="13">
        <f>SUM(F17:F19)</f>
        <v/>
      </c>
    </row>
    <row r="22">
      <c r="A22" s="8" t="inlineStr">
        <is>
          <t>Net vs Baseline</t>
        </is>
      </c>
      <c r="B22" s="15">
        <f>F20-'Parameters &amp; Summary'!$F$44</f>
        <v/>
      </c>
      <c r="C22" s="20" t="inlineStr">
        <is>
          <t>% of baseline net</t>
        </is>
      </c>
      <c r="D22" s="9">
        <f>(F20-'Parameters &amp; Summary'!$F$44)/'Parameters &amp; Summary'!$F$44</f>
        <v/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1" t="inlineStr">
        <is>
          <t>Option B - Both store billing</t>
        </is>
      </c>
    </row>
    <row r="2" ht="42" customHeight="1">
      <c r="A2" s="17" t="inlineStr">
        <is>
          <t>Ship iOS with Apple IAP AND Android with Google Play Billing. Web stays on Stripe. Safest / most compliant, but both stores take a cut of digital subs and consumables.</t>
        </is>
      </c>
    </row>
    <row r="4">
      <c r="A4" s="3" t="inlineStr">
        <is>
          <t>KEY PARAMETERS (linked from Parameters tab)</t>
        </is>
      </c>
    </row>
    <row r="5">
      <c r="A5" s="8" t="inlineStr">
        <is>
          <t>Monthly subs</t>
        </is>
      </c>
      <c r="B5" s="18">
        <f>'Parameters &amp; Summary'!$B$7</f>
        <v/>
      </c>
    </row>
    <row r="6">
      <c r="A6" s="8" t="inlineStr">
        <is>
          <t>Annual subs</t>
        </is>
      </c>
      <c r="B6" s="18">
        <f>'Parameters &amp; Summary'!$B$8</f>
        <v/>
      </c>
    </row>
    <row r="7">
      <c r="A7" s="8" t="inlineStr">
        <is>
          <t>Scan pack buyers/yr</t>
        </is>
      </c>
      <c r="B7" s="18">
        <f>'Parameters &amp; Summary'!$B$9</f>
        <v/>
      </c>
    </row>
    <row r="8">
      <c r="A8" s="8" t="inlineStr">
        <is>
          <t>iOS share</t>
        </is>
      </c>
      <c r="B8" s="19">
        <f>'Parameters &amp; Summary'!$B$15</f>
        <v/>
      </c>
    </row>
    <row r="9">
      <c r="A9" s="8" t="inlineStr">
        <is>
          <t>Android share</t>
        </is>
      </c>
      <c r="B9" s="19">
        <f>'Parameters &amp; Summary'!$B$16</f>
        <v/>
      </c>
    </row>
    <row r="10">
      <c r="A10" s="8" t="inlineStr">
        <is>
          <t>Web share</t>
        </is>
      </c>
      <c r="B10" s="19">
        <f>'Parameters &amp; Summary'!$B$17</f>
        <v/>
      </c>
    </row>
    <row r="11">
      <c r="A11" s="8" t="inlineStr">
        <is>
          <t>Apple fee (SBP)</t>
        </is>
      </c>
      <c r="B11" s="19">
        <f>'Parameters &amp; Summary'!$B$19</f>
        <v/>
      </c>
    </row>
    <row r="12">
      <c r="A12" s="8" t="inlineStr">
        <is>
          <t>Google fee (SBP)</t>
        </is>
      </c>
      <c r="B12" s="19">
        <f>'Parameters &amp; Summary'!$B$20</f>
        <v/>
      </c>
    </row>
    <row r="15">
      <c r="A15" s="3" t="inlineStr">
        <is>
          <t>PER-CHANNEL BREAKDOWN</t>
        </is>
      </c>
    </row>
    <row r="16">
      <c r="A16" s="4" t="inlineStr">
        <is>
          <t>Channel</t>
        </is>
      </c>
      <c r="B16" s="4" t="inlineStr">
        <is>
          <t>Gross</t>
        </is>
      </c>
      <c r="C16" s="4" t="inlineStr">
        <is>
          <t>Apple fee</t>
        </is>
      </c>
      <c r="D16" s="4" t="inlineStr">
        <is>
          <t>Google fee</t>
        </is>
      </c>
      <c r="E16" s="4" t="inlineStr">
        <is>
          <t>Stripe fee</t>
        </is>
      </c>
      <c r="F16" s="4" t="inlineStr">
        <is>
          <t>Net</t>
        </is>
      </c>
    </row>
    <row r="17">
      <c r="A17" s="8" t="inlineStr">
        <is>
          <t>iOS (Apple IAP)</t>
        </is>
      </c>
      <c r="B17" s="10">
        <f>'Parameters &amp; Summary'!$F$30</f>
        <v/>
      </c>
      <c r="C17" s="10">
        <f>'Parameters &amp; Summary'!$F$30*'Parameters &amp; Summary'!$B$19</f>
        <v/>
      </c>
      <c r="D17" s="10" t="n">
        <v>0</v>
      </c>
      <c r="E17" s="10" t="n">
        <v>0</v>
      </c>
      <c r="F17" s="14">
        <f>B17-C17-D17-E17</f>
        <v/>
      </c>
    </row>
    <row r="18">
      <c r="A18" s="8" t="inlineStr">
        <is>
          <t>Android (Google Play)</t>
        </is>
      </c>
      <c r="B18" s="10">
        <f>'Parameters &amp; Summary'!$F$31</f>
        <v/>
      </c>
      <c r="C18" s="10" t="n">
        <v>0</v>
      </c>
      <c r="D18" s="10">
        <f>'Parameters &amp; Summary'!$F$31*'Parameters &amp; Summary'!$B$20</f>
        <v/>
      </c>
      <c r="E18" s="10" t="n">
        <v>0</v>
      </c>
      <c r="F18" s="14">
        <f>B18-C18-D18-E18</f>
        <v/>
      </c>
    </row>
    <row r="19">
      <c r="A19" s="8" t="inlineStr">
        <is>
          <t>Web (Stripe)</t>
        </is>
      </c>
      <c r="B19" s="10">
        <f>'Parameters &amp; Summary'!$F$32</f>
        <v/>
      </c>
      <c r="C19" s="10" t="n">
        <v>0</v>
      </c>
      <c r="D19" s="10" t="n">
        <v>0</v>
      </c>
      <c r="E19" s="10">
        <f>'Parameters &amp; Summary'!$B$39</f>
        <v/>
      </c>
      <c r="F19" s="14">
        <f>B19-C19-D19-E19</f>
        <v/>
      </c>
    </row>
    <row r="20">
      <c r="A20" s="11" t="inlineStr">
        <is>
          <t>Total</t>
        </is>
      </c>
      <c r="B20" s="13">
        <f>SUM(B17:B19)</f>
        <v/>
      </c>
      <c r="C20" s="13">
        <f>SUM(C17:C19)</f>
        <v/>
      </c>
      <c r="D20" s="13">
        <f>SUM(D17:D19)</f>
        <v/>
      </c>
      <c r="E20" s="13">
        <f>SUM(E17:E19)</f>
        <v/>
      </c>
      <c r="F20" s="13">
        <f>SUM(F17:F19)</f>
        <v/>
      </c>
    </row>
    <row r="22">
      <c r="A22" s="8" t="inlineStr">
        <is>
          <t>Net vs Baseline</t>
        </is>
      </c>
      <c r="B22" s="15">
        <f>F20-'Parameters &amp; Summary'!$F$44</f>
        <v/>
      </c>
      <c r="C22" s="20" t="inlineStr">
        <is>
          <t>% of baseline net</t>
        </is>
      </c>
      <c r="D22" s="9">
        <f>(F20-'Parameters &amp; Summary'!$F$44)/'Parameters &amp; Summary'!$F$44</f>
        <v/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1" t="inlineStr">
        <is>
          <t>Option C - Web-only upgrades</t>
        </is>
      </c>
    </row>
    <row r="2" ht="42" customHeight="1">
      <c r="A2" s="17" t="inlineStr">
        <is>
          <t>iOS app has NO in-app purchase path. Users must sign up / upgrade on the website. Apple's anti-steering rules prohibit linking out. Avoids IAP fees but loses revenue to conversion drop (industry typical ~40% drop).</t>
        </is>
      </c>
    </row>
    <row r="4">
      <c r="A4" s="3" t="inlineStr">
        <is>
          <t>KEY PARAMETERS (linked from Parameters tab)</t>
        </is>
      </c>
    </row>
    <row r="5">
      <c r="A5" s="8" t="inlineStr">
        <is>
          <t>Monthly subs</t>
        </is>
      </c>
      <c r="B5" s="18">
        <f>'Parameters &amp; Summary'!$B$7</f>
        <v/>
      </c>
    </row>
    <row r="6">
      <c r="A6" s="8" t="inlineStr">
        <is>
          <t>Annual subs</t>
        </is>
      </c>
      <c r="B6" s="18">
        <f>'Parameters &amp; Summary'!$B$8</f>
        <v/>
      </c>
    </row>
    <row r="7">
      <c r="A7" s="8" t="inlineStr">
        <is>
          <t>Scan pack buyers/yr</t>
        </is>
      </c>
      <c r="B7" s="18">
        <f>'Parameters &amp; Summary'!$B$9</f>
        <v/>
      </c>
    </row>
    <row r="8">
      <c r="A8" s="8" t="inlineStr">
        <is>
          <t>iOS share</t>
        </is>
      </c>
      <c r="B8" s="19">
        <f>'Parameters &amp; Summary'!$B$15</f>
        <v/>
      </c>
    </row>
    <row r="9">
      <c r="A9" s="8" t="inlineStr">
        <is>
          <t>Android share</t>
        </is>
      </c>
      <c r="B9" s="19">
        <f>'Parameters &amp; Summary'!$B$16</f>
        <v/>
      </c>
    </row>
    <row r="10">
      <c r="A10" s="8" t="inlineStr">
        <is>
          <t>Web share</t>
        </is>
      </c>
      <c r="B10" s="19">
        <f>'Parameters &amp; Summary'!$B$17</f>
        <v/>
      </c>
    </row>
    <row r="11">
      <c r="A11" s="8" t="inlineStr">
        <is>
          <t>Apple fee (SBP)</t>
        </is>
      </c>
      <c r="B11" s="19">
        <f>'Parameters &amp; Summary'!$B$19</f>
        <v/>
      </c>
    </row>
    <row r="12">
      <c r="A12" s="8" t="inlineStr">
        <is>
          <t>Google fee (SBP)</t>
        </is>
      </c>
      <c r="B12" s="19">
        <f>'Parameters &amp; Summary'!$B$20</f>
        <v/>
      </c>
    </row>
    <row r="13">
      <c r="A13" s="8" t="inlineStr">
        <is>
          <t>Opt C conversion rate</t>
        </is>
      </c>
      <c r="B13" s="19">
        <f>'Parameters &amp; Summary'!$B$24</f>
        <v/>
      </c>
    </row>
    <row r="16">
      <c r="A16" s="3" t="inlineStr">
        <is>
          <t>PER-CHANNEL BREAKDOWN</t>
        </is>
      </c>
    </row>
    <row r="17">
      <c r="A17" s="4" t="inlineStr">
        <is>
          <t>Channel</t>
        </is>
      </c>
      <c r="B17" s="4" t="inlineStr">
        <is>
          <t>Gross</t>
        </is>
      </c>
      <c r="C17" s="4" t="inlineStr">
        <is>
          <t>Apple fee</t>
        </is>
      </c>
      <c r="D17" s="4" t="inlineStr">
        <is>
          <t>Google fee</t>
        </is>
      </c>
      <c r="E17" s="4" t="inlineStr">
        <is>
          <t>Stripe fee</t>
        </is>
      </c>
      <c r="F17" s="4" t="inlineStr">
        <is>
          <t>Net</t>
        </is>
      </c>
    </row>
    <row r="18">
      <c r="A18" s="8" t="inlineStr">
        <is>
          <t>iOS (web, partial capture)</t>
        </is>
      </c>
      <c r="B18" s="10">
        <f>'Parameters &amp; Summary'!$F$30*'Parameters &amp; Summary'!$B$24</f>
        <v/>
      </c>
      <c r="C18" s="10" t="n">
        <v>0</v>
      </c>
      <c r="D18" s="10" t="n">
        <v>0</v>
      </c>
      <c r="E18" s="10">
        <f>'Parameters &amp; Summary'!$B$37*'Parameters &amp; Summary'!$B$24</f>
        <v/>
      </c>
      <c r="F18" s="14">
        <f>B18-C18-D18-E18</f>
        <v/>
      </c>
    </row>
    <row r="19">
      <c r="A19" s="8" t="inlineStr">
        <is>
          <t>Android (Stripe)</t>
        </is>
      </c>
      <c r="B19" s="10">
        <f>'Parameters &amp; Summary'!$F$31</f>
        <v/>
      </c>
      <c r="C19" s="10" t="n">
        <v>0</v>
      </c>
      <c r="D19" s="10" t="n">
        <v>0</v>
      </c>
      <c r="E19" s="10">
        <f>'Parameters &amp; Summary'!$B$38</f>
        <v/>
      </c>
      <c r="F19" s="14">
        <f>B19-C19-D19-E19</f>
        <v/>
      </c>
    </row>
    <row r="20">
      <c r="A20" s="8" t="inlineStr">
        <is>
          <t>Web (Stripe)</t>
        </is>
      </c>
      <c r="B20" s="10">
        <f>'Parameters &amp; Summary'!$F$32</f>
        <v/>
      </c>
      <c r="C20" s="10" t="n">
        <v>0</v>
      </c>
      <c r="D20" s="10" t="n">
        <v>0</v>
      </c>
      <c r="E20" s="10">
        <f>'Parameters &amp; Summary'!$B$39</f>
        <v/>
      </c>
      <c r="F20" s="14">
        <f>B20-C20-D20-E20</f>
        <v/>
      </c>
    </row>
    <row r="21">
      <c r="A21" s="11" t="inlineStr">
        <is>
          <t>Total</t>
        </is>
      </c>
      <c r="B21" s="13">
        <f>SUM(B18:B20)</f>
        <v/>
      </c>
      <c r="C21" s="13">
        <f>SUM(C18:C20)</f>
        <v/>
      </c>
      <c r="D21" s="13">
        <f>SUM(D18:D20)</f>
        <v/>
      </c>
      <c r="E21" s="13">
        <f>SUM(E18:E20)</f>
        <v/>
      </c>
      <c r="F21" s="13">
        <f>SUM(F18:F20)</f>
        <v/>
      </c>
    </row>
    <row r="23">
      <c r="A23" s="8" t="inlineStr">
        <is>
          <t>Net vs Baseline</t>
        </is>
      </c>
      <c r="B23" s="15">
        <f>F21-'Parameters &amp; Summary'!$F$44</f>
        <v/>
      </c>
      <c r="C23" s="20" t="inlineStr">
        <is>
          <t>% of baseline net</t>
        </is>
      </c>
      <c r="D23" s="9">
        <f>(F21-'Parameters &amp; Summary'!$F$44)/'Parameters &amp; Summary'!$F$44</f>
        <v/>
      </c>
    </row>
  </sheetData>
  <mergeCells count="4">
    <mergeCell ref="A2:F2"/>
    <mergeCell ref="A16:F16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6" customHeight="1">
      <c r="A1" s="1" t="inlineStr">
        <is>
          <t>Option D - iOS free-only</t>
        </is>
      </c>
    </row>
    <row r="2" ht="42" customHeight="1">
      <c r="A2" s="17" t="inlineStr">
        <is>
          <t>iOS app has no upgrade path at all. Only free-tier features available on iOS. Users who want Premium must use web/Android. Lowest App Store rejection risk but caps iOS revenue severely.</t>
        </is>
      </c>
    </row>
    <row r="4">
      <c r="A4" s="3" t="inlineStr">
        <is>
          <t>KEY PARAMETERS (linked from Parameters tab)</t>
        </is>
      </c>
    </row>
    <row r="5">
      <c r="A5" s="8" t="inlineStr">
        <is>
          <t>Monthly subs</t>
        </is>
      </c>
      <c r="B5" s="18">
        <f>'Parameters &amp; Summary'!$B$7</f>
        <v/>
      </c>
    </row>
    <row r="6">
      <c r="A6" s="8" t="inlineStr">
        <is>
          <t>Annual subs</t>
        </is>
      </c>
      <c r="B6" s="18">
        <f>'Parameters &amp; Summary'!$B$8</f>
        <v/>
      </c>
    </row>
    <row r="7">
      <c r="A7" s="8" t="inlineStr">
        <is>
          <t>Scan pack buyers/yr</t>
        </is>
      </c>
      <c r="B7" s="18">
        <f>'Parameters &amp; Summary'!$B$9</f>
        <v/>
      </c>
    </row>
    <row r="8">
      <c r="A8" s="8" t="inlineStr">
        <is>
          <t>iOS share</t>
        </is>
      </c>
      <c r="B8" s="19">
        <f>'Parameters &amp; Summary'!$B$15</f>
        <v/>
      </c>
    </row>
    <row r="9">
      <c r="A9" s="8" t="inlineStr">
        <is>
          <t>Android share</t>
        </is>
      </c>
      <c r="B9" s="19">
        <f>'Parameters &amp; Summary'!$B$16</f>
        <v/>
      </c>
    </row>
    <row r="10">
      <c r="A10" s="8" t="inlineStr">
        <is>
          <t>Web share</t>
        </is>
      </c>
      <c r="B10" s="19">
        <f>'Parameters &amp; Summary'!$B$17</f>
        <v/>
      </c>
    </row>
    <row r="11">
      <c r="A11" s="8" t="inlineStr">
        <is>
          <t>Apple fee (SBP)</t>
        </is>
      </c>
      <c r="B11" s="19">
        <f>'Parameters &amp; Summary'!$B$19</f>
        <v/>
      </c>
    </row>
    <row r="12">
      <c r="A12" s="8" t="inlineStr">
        <is>
          <t>Google fee (SBP)</t>
        </is>
      </c>
      <c r="B12" s="19">
        <f>'Parameters &amp; Summary'!$B$20</f>
        <v/>
      </c>
    </row>
    <row r="13">
      <c r="A13" s="8" t="inlineStr">
        <is>
          <t>Opt D conversion rate</t>
        </is>
      </c>
      <c r="B13" s="19">
        <f>'Parameters &amp; Summary'!$B$25</f>
        <v/>
      </c>
    </row>
    <row r="16">
      <c r="A16" s="3" t="inlineStr">
        <is>
          <t>PER-CHANNEL BREAKDOWN</t>
        </is>
      </c>
    </row>
    <row r="17">
      <c r="A17" s="4" t="inlineStr">
        <is>
          <t>Channel</t>
        </is>
      </c>
      <c r="B17" s="4" t="inlineStr">
        <is>
          <t>Gross</t>
        </is>
      </c>
      <c r="C17" s="4" t="inlineStr">
        <is>
          <t>Apple fee</t>
        </is>
      </c>
      <c r="D17" s="4" t="inlineStr">
        <is>
          <t>Google fee</t>
        </is>
      </c>
      <c r="E17" s="4" t="inlineStr">
        <is>
          <t>Stripe fee</t>
        </is>
      </c>
      <c r="F17" s="4" t="inlineStr">
        <is>
          <t>Net</t>
        </is>
      </c>
    </row>
    <row r="18">
      <c r="A18" s="8" t="inlineStr">
        <is>
          <t>iOS (few go to web)</t>
        </is>
      </c>
      <c r="B18" s="10">
        <f>'Parameters &amp; Summary'!$F$30*'Parameters &amp; Summary'!$B$25</f>
        <v/>
      </c>
      <c r="C18" s="10" t="n">
        <v>0</v>
      </c>
      <c r="D18" s="10" t="n">
        <v>0</v>
      </c>
      <c r="E18" s="10">
        <f>'Parameters &amp; Summary'!$B$37*'Parameters &amp; Summary'!$B$25</f>
        <v/>
      </c>
      <c r="F18" s="14">
        <f>B18-C18-D18-E18</f>
        <v/>
      </c>
    </row>
    <row r="19">
      <c r="A19" s="8" t="inlineStr">
        <is>
          <t>Android (Stripe)</t>
        </is>
      </c>
      <c r="B19" s="10">
        <f>'Parameters &amp; Summary'!$F$31</f>
        <v/>
      </c>
      <c r="C19" s="10" t="n">
        <v>0</v>
      </c>
      <c r="D19" s="10" t="n">
        <v>0</v>
      </c>
      <c r="E19" s="10">
        <f>'Parameters &amp; Summary'!$B$38</f>
        <v/>
      </c>
      <c r="F19" s="14">
        <f>B19-C19-D19-E19</f>
        <v/>
      </c>
    </row>
    <row r="20">
      <c r="A20" s="8" t="inlineStr">
        <is>
          <t>Web (Stripe)</t>
        </is>
      </c>
      <c r="B20" s="10">
        <f>'Parameters &amp; Summary'!$F$32</f>
        <v/>
      </c>
      <c r="C20" s="10" t="n">
        <v>0</v>
      </c>
      <c r="D20" s="10" t="n">
        <v>0</v>
      </c>
      <c r="E20" s="10">
        <f>'Parameters &amp; Summary'!$B$39</f>
        <v/>
      </c>
      <c r="F20" s="14">
        <f>B20-C20-D20-E20</f>
        <v/>
      </c>
    </row>
    <row r="21">
      <c r="A21" s="11" t="inlineStr">
        <is>
          <t>Total</t>
        </is>
      </c>
      <c r="B21" s="13">
        <f>SUM(B18:B20)</f>
        <v/>
      </c>
      <c r="C21" s="13">
        <f>SUM(C18:C20)</f>
        <v/>
      </c>
      <c r="D21" s="13">
        <f>SUM(D18:D20)</f>
        <v/>
      </c>
      <c r="E21" s="13">
        <f>SUM(E18:E20)</f>
        <v/>
      </c>
      <c r="F21" s="13">
        <f>SUM(F18:F20)</f>
        <v/>
      </c>
    </row>
    <row r="23">
      <c r="A23" s="8" t="inlineStr">
        <is>
          <t>Net vs Baseline</t>
        </is>
      </c>
      <c r="B23" s="15">
        <f>F21-'Parameters &amp; Summary'!$F$44</f>
        <v/>
      </c>
      <c r="C23" s="20" t="inlineStr">
        <is>
          <t>% of baseline net</t>
        </is>
      </c>
      <c r="D23" s="9">
        <f>(F21-'Parameters &amp; Summary'!$F$44)/'Parameters &amp; Summary'!$F$44</f>
        <v/>
      </c>
    </row>
  </sheetData>
  <mergeCells count="4">
    <mergeCell ref="A2:F2"/>
    <mergeCell ref="A16:F16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</cols>
  <sheetData>
    <row r="1" ht="26" customHeight="1">
      <c r="A1" s="1" t="inlineStr">
        <is>
          <t>Growth Sensitivity — When Does Native Pay Off?</t>
        </is>
      </c>
    </row>
    <row r="2" ht="56" customHeight="1">
      <c r="A2" s="21" t="inlineStr">
        <is>
          <t>Assumption: PWA-only revenue is capped at current user count (App Store is a growth channel the PWA doesn't tap). Native apps scale linearly with users if premium conversion % stays constant. Break-even: how much user growth native must bring to match PWA-only net.</t>
        </is>
      </c>
    </row>
    <row r="4">
      <c r="A4" s="3" t="inlineStr">
        <is>
          <t>BREAK-EVEN ANALYSIS</t>
        </is>
      </c>
    </row>
    <row r="5">
      <c r="A5" s="4" t="inlineStr">
        <is>
          <t>Strategy</t>
        </is>
      </c>
      <c r="B5" s="4" t="inlineStr">
        <is>
          <t>Net at 1x users</t>
        </is>
      </c>
      <c r="C5" s="4" t="inlineStr">
        <is>
          <t>Break-even multiplier</t>
        </is>
      </c>
      <c r="D5" s="4" t="inlineStr">
        <is>
          <t>Extra users needed</t>
        </is>
      </c>
      <c r="E5" s="4" t="inlineStr">
        <is>
          <t>Interpretation</t>
        </is>
      </c>
    </row>
    <row r="6">
      <c r="A6" s="8" t="inlineStr">
        <is>
          <t>Option A (Apple IAP + Stripe)</t>
        </is>
      </c>
      <c r="B6" s="10">
        <f>'Parameters &amp; Summary'!$F$45</f>
        <v/>
      </c>
      <c r="C6" s="22">
        <f>'Parameters &amp; Summary'!$F$44/'Parameters &amp; Summary'!$F$45</f>
        <v/>
      </c>
      <c r="D6" s="23">
        <f>('Parameters &amp; Summary'!$F$44/'Parameters &amp; Summary'!$F$45-1)*'Parameters &amp; Summary'!$B$7/0.3</f>
        <v/>
      </c>
      <c r="E6" t="inlineStr">
        <is>
          <t>Extra users the App Store must bring just to offset Apple's cut</t>
        </is>
      </c>
    </row>
    <row r="7">
      <c r="A7" s="8" t="inlineStr">
        <is>
          <t>Option B (Apple IAP + Google Play)</t>
        </is>
      </c>
      <c r="B7" s="10">
        <f>'Parameters &amp; Summary'!$F$46</f>
        <v/>
      </c>
      <c r="C7" s="22">
        <f>'Parameters &amp; Summary'!$F$44/'Parameters &amp; Summary'!$F$46</f>
        <v/>
      </c>
      <c r="D7" s="23">
        <f>('Parameters &amp; Summary'!$F$44/'Parameters &amp; Summary'!$F$46-1)*'Parameters &amp; Summary'!$B$7/0.3</f>
        <v/>
      </c>
      <c r="E7" t="inlineStr">
        <is>
          <t>Extra users both stores' cuts must be offset by</t>
        </is>
      </c>
    </row>
    <row r="10">
      <c r="A10" s="3" t="inlineStr">
        <is>
          <t>NET REVENUE AT DIFFERENT GROWTH MULTIPLIERS</t>
        </is>
      </c>
    </row>
    <row r="11">
      <c r="A11" s="4" t="inlineStr">
        <is>
          <t>User multiplier</t>
        </is>
      </c>
      <c r="B11" s="4" t="inlineStr">
        <is>
          <t>Total users</t>
        </is>
      </c>
      <c r="C11" s="4" t="inlineStr">
        <is>
          <t>Total premium</t>
        </is>
      </c>
      <c r="D11" s="4" t="inlineStr">
        <is>
          <t>PWA-only net</t>
        </is>
      </c>
      <c r="E11" s="4" t="inlineStr">
        <is>
          <t>Option A net</t>
        </is>
      </c>
      <c r="F11" s="4" t="inlineStr">
        <is>
          <t>Option B net</t>
        </is>
      </c>
      <c r="G11" s="4" t="inlineStr">
        <is>
          <t>A vs PWA</t>
        </is>
      </c>
      <c r="H11" s="4" t="inlineStr">
        <is>
          <t>B vs PWA</t>
        </is>
      </c>
    </row>
    <row r="12">
      <c r="A12" s="24" t="n">
        <v>1</v>
      </c>
      <c r="B12" s="23">
        <f>('Parameters &amp; Summary'!$B$7+'Parameters &amp; Summary'!$B$8)*(1/(('Parameters &amp; Summary'!$B$7+'Parameters &amp; Summary'!$B$8)/'Parameters &amp; Summary'!$B$6))*A12</f>
        <v/>
      </c>
      <c r="C12" s="23">
        <f>('Parameters &amp; Summary'!$B$7+'Parameters &amp; Summary'!$B$8+'Parameters &amp; Summary'!$B$9)*A12</f>
        <v/>
      </c>
      <c r="D12" s="10">
        <f>'Parameters &amp; Summary'!$F$44</f>
        <v/>
      </c>
      <c r="E12" s="10">
        <f>'Parameters &amp; Summary'!$F$45*A12</f>
        <v/>
      </c>
      <c r="F12" s="10">
        <f>'Parameters &amp; Summary'!$F$46*A12</f>
        <v/>
      </c>
      <c r="G12" s="15">
        <f>E12-D12</f>
        <v/>
      </c>
      <c r="H12" s="15">
        <f>F12-D12</f>
        <v/>
      </c>
    </row>
    <row r="13">
      <c r="A13" s="24" t="n">
        <v>1.1</v>
      </c>
      <c r="B13" s="23">
        <f>('Parameters &amp; Summary'!$B$7+'Parameters &amp; Summary'!$B$8)*(1/(('Parameters &amp; Summary'!$B$7+'Parameters &amp; Summary'!$B$8)/'Parameters &amp; Summary'!$B$6))*A13</f>
        <v/>
      </c>
      <c r="C13" s="23">
        <f>('Parameters &amp; Summary'!$B$7+'Parameters &amp; Summary'!$B$8+'Parameters &amp; Summary'!$B$9)*A13</f>
        <v/>
      </c>
      <c r="D13" s="10">
        <f>'Parameters &amp; Summary'!$F$44</f>
        <v/>
      </c>
      <c r="E13" s="10">
        <f>'Parameters &amp; Summary'!$F$45*A13</f>
        <v/>
      </c>
      <c r="F13" s="10">
        <f>'Parameters &amp; Summary'!$F$46*A13</f>
        <v/>
      </c>
      <c r="G13" s="15">
        <f>E13-D13</f>
        <v/>
      </c>
      <c r="H13" s="15">
        <f>F13-D13</f>
        <v/>
      </c>
    </row>
    <row r="14">
      <c r="A14" s="24" t="n">
        <v>1.25</v>
      </c>
      <c r="B14" s="23">
        <f>('Parameters &amp; Summary'!$B$7+'Parameters &amp; Summary'!$B$8)*(1/(('Parameters &amp; Summary'!$B$7+'Parameters &amp; Summary'!$B$8)/'Parameters &amp; Summary'!$B$6))*A14</f>
        <v/>
      </c>
      <c r="C14" s="23">
        <f>('Parameters &amp; Summary'!$B$7+'Parameters &amp; Summary'!$B$8+'Parameters &amp; Summary'!$B$9)*A14</f>
        <v/>
      </c>
      <c r="D14" s="10">
        <f>'Parameters &amp; Summary'!$F$44</f>
        <v/>
      </c>
      <c r="E14" s="10">
        <f>'Parameters &amp; Summary'!$F$45*A14</f>
        <v/>
      </c>
      <c r="F14" s="10">
        <f>'Parameters &amp; Summary'!$F$46*A14</f>
        <v/>
      </c>
      <c r="G14" s="15">
        <f>E14-D14</f>
        <v/>
      </c>
      <c r="H14" s="15">
        <f>F14-D14</f>
        <v/>
      </c>
    </row>
    <row r="15">
      <c r="A15" s="24" t="n">
        <v>1.5</v>
      </c>
      <c r="B15" s="23">
        <f>('Parameters &amp; Summary'!$B$7+'Parameters &amp; Summary'!$B$8)*(1/(('Parameters &amp; Summary'!$B$7+'Parameters &amp; Summary'!$B$8)/'Parameters &amp; Summary'!$B$6))*A15</f>
        <v/>
      </c>
      <c r="C15" s="23">
        <f>('Parameters &amp; Summary'!$B$7+'Parameters &amp; Summary'!$B$8+'Parameters &amp; Summary'!$B$9)*A15</f>
        <v/>
      </c>
      <c r="D15" s="10">
        <f>'Parameters &amp; Summary'!$F$44</f>
        <v/>
      </c>
      <c r="E15" s="10">
        <f>'Parameters &amp; Summary'!$F$45*A15</f>
        <v/>
      </c>
      <c r="F15" s="10">
        <f>'Parameters &amp; Summary'!$F$46*A15</f>
        <v/>
      </c>
      <c r="G15" s="15">
        <f>E15-D15</f>
        <v/>
      </c>
      <c r="H15" s="15">
        <f>F15-D15</f>
        <v/>
      </c>
    </row>
    <row r="16">
      <c r="A16" s="24" t="n">
        <v>1.75</v>
      </c>
      <c r="B16" s="23">
        <f>('Parameters &amp; Summary'!$B$7+'Parameters &amp; Summary'!$B$8)*(1/(('Parameters &amp; Summary'!$B$7+'Parameters &amp; Summary'!$B$8)/'Parameters &amp; Summary'!$B$6))*A16</f>
        <v/>
      </c>
      <c r="C16" s="23">
        <f>('Parameters &amp; Summary'!$B$7+'Parameters &amp; Summary'!$B$8+'Parameters &amp; Summary'!$B$9)*A16</f>
        <v/>
      </c>
      <c r="D16" s="10">
        <f>'Parameters &amp; Summary'!$F$44</f>
        <v/>
      </c>
      <c r="E16" s="10">
        <f>'Parameters &amp; Summary'!$F$45*A16</f>
        <v/>
      </c>
      <c r="F16" s="10">
        <f>'Parameters &amp; Summary'!$F$46*A16</f>
        <v/>
      </c>
      <c r="G16" s="15">
        <f>E16-D16</f>
        <v/>
      </c>
      <c r="H16" s="15">
        <f>F16-D16</f>
        <v/>
      </c>
    </row>
    <row r="17">
      <c r="A17" s="24" t="n">
        <v>2</v>
      </c>
      <c r="B17" s="23">
        <f>('Parameters &amp; Summary'!$B$7+'Parameters &amp; Summary'!$B$8)*(1/(('Parameters &amp; Summary'!$B$7+'Parameters &amp; Summary'!$B$8)/'Parameters &amp; Summary'!$B$6))*A17</f>
        <v/>
      </c>
      <c r="C17" s="23">
        <f>('Parameters &amp; Summary'!$B$7+'Parameters &amp; Summary'!$B$8+'Parameters &amp; Summary'!$B$9)*A17</f>
        <v/>
      </c>
      <c r="D17" s="10">
        <f>'Parameters &amp; Summary'!$F$44</f>
        <v/>
      </c>
      <c r="E17" s="10">
        <f>'Parameters &amp; Summary'!$F$45*A17</f>
        <v/>
      </c>
      <c r="F17" s="10">
        <f>'Parameters &amp; Summary'!$F$46*A17</f>
        <v/>
      </c>
      <c r="G17" s="15">
        <f>E17-D17</f>
        <v/>
      </c>
      <c r="H17" s="15">
        <f>F17-D17</f>
        <v/>
      </c>
    </row>
    <row r="18">
      <c r="A18" s="24" t="n">
        <v>2.5</v>
      </c>
      <c r="B18" s="23">
        <f>('Parameters &amp; Summary'!$B$7+'Parameters &amp; Summary'!$B$8)*(1/(('Parameters &amp; Summary'!$B$7+'Parameters &amp; Summary'!$B$8)/'Parameters &amp; Summary'!$B$6))*A18</f>
        <v/>
      </c>
      <c r="C18" s="23">
        <f>('Parameters &amp; Summary'!$B$7+'Parameters &amp; Summary'!$B$8+'Parameters &amp; Summary'!$B$9)*A18</f>
        <v/>
      </c>
      <c r="D18" s="10">
        <f>'Parameters &amp; Summary'!$F$44</f>
        <v/>
      </c>
      <c r="E18" s="10">
        <f>'Parameters &amp; Summary'!$F$45*A18</f>
        <v/>
      </c>
      <c r="F18" s="10">
        <f>'Parameters &amp; Summary'!$F$46*A18</f>
        <v/>
      </c>
      <c r="G18" s="15">
        <f>E18-D18</f>
        <v/>
      </c>
      <c r="H18" s="15">
        <f>F18-D18</f>
        <v/>
      </c>
    </row>
    <row r="19">
      <c r="A19" s="24" t="n">
        <v>3</v>
      </c>
      <c r="B19" s="23">
        <f>('Parameters &amp; Summary'!$B$7+'Parameters &amp; Summary'!$B$8)*(1/(('Parameters &amp; Summary'!$B$7+'Parameters &amp; Summary'!$B$8)/'Parameters &amp; Summary'!$B$6))*A19</f>
        <v/>
      </c>
      <c r="C19" s="23">
        <f>('Parameters &amp; Summary'!$B$7+'Parameters &amp; Summary'!$B$8+'Parameters &amp; Summary'!$B$9)*A19</f>
        <v/>
      </c>
      <c r="D19" s="10">
        <f>'Parameters &amp; Summary'!$F$44</f>
        <v/>
      </c>
      <c r="E19" s="10">
        <f>'Parameters &amp; Summary'!$F$45*A19</f>
        <v/>
      </c>
      <c r="F19" s="10">
        <f>'Parameters &amp; Summary'!$F$46*A19</f>
        <v/>
      </c>
      <c r="G19" s="15">
        <f>E19-D19</f>
        <v/>
      </c>
      <c r="H19" s="15">
        <f>F19-D19</f>
        <v/>
      </c>
    </row>
    <row r="20">
      <c r="A20" s="24" t="n">
        <v>4</v>
      </c>
      <c r="B20" s="23">
        <f>('Parameters &amp; Summary'!$B$7+'Parameters &amp; Summary'!$B$8)*(1/(('Parameters &amp; Summary'!$B$7+'Parameters &amp; Summary'!$B$8)/'Parameters &amp; Summary'!$B$6))*A20</f>
        <v/>
      </c>
      <c r="C20" s="23">
        <f>('Parameters &amp; Summary'!$B$7+'Parameters &amp; Summary'!$B$8+'Parameters &amp; Summary'!$B$9)*A20</f>
        <v/>
      </c>
      <c r="D20" s="10">
        <f>'Parameters &amp; Summary'!$F$44</f>
        <v/>
      </c>
      <c r="E20" s="10">
        <f>'Parameters &amp; Summary'!$F$45*A20</f>
        <v/>
      </c>
      <c r="F20" s="10">
        <f>'Parameters &amp; Summary'!$F$46*A20</f>
        <v/>
      </c>
      <c r="G20" s="15">
        <f>E20-D20</f>
        <v/>
      </c>
      <c r="H20" s="15">
        <f>F20-D20</f>
        <v/>
      </c>
    </row>
    <row r="21">
      <c r="A21" s="24" t="n">
        <v>5</v>
      </c>
      <c r="B21" s="23">
        <f>('Parameters &amp; Summary'!$B$7+'Parameters &amp; Summary'!$B$8)*(1/(('Parameters &amp; Summary'!$B$7+'Parameters &amp; Summary'!$B$8)/'Parameters &amp; Summary'!$B$6))*A21</f>
        <v/>
      </c>
      <c r="C21" s="23">
        <f>('Parameters &amp; Summary'!$B$7+'Parameters &amp; Summary'!$B$8+'Parameters &amp; Summary'!$B$9)*A21</f>
        <v/>
      </c>
      <c r="D21" s="10">
        <f>'Parameters &amp; Summary'!$F$44</f>
        <v/>
      </c>
      <c r="E21" s="10">
        <f>'Parameters &amp; Summary'!$F$45*A21</f>
        <v/>
      </c>
      <c r="F21" s="10">
        <f>'Parameters &amp; Summary'!$F$46*A21</f>
        <v/>
      </c>
      <c r="G21" s="15">
        <f>E21-D21</f>
        <v/>
      </c>
      <c r="H21" s="15">
        <f>F21-D21</f>
        <v/>
      </c>
    </row>
    <row r="24">
      <c r="A24" s="3" t="inlineStr">
        <is>
          <t>HOW TO READ THIS</t>
        </is>
      </c>
    </row>
    <row r="25" ht="30" customHeight="1">
      <c r="A25" s="16" t="inlineStr">
        <is>
          <t>• PWA-only assumes the user base is capped at its current level. If word-of-mouth growth can double the PWA base too, this analysis understates PWA-only revenue.</t>
        </is>
      </c>
    </row>
    <row r="26" ht="30" customHeight="1">
      <c r="A26" s="16" t="inlineStr">
        <is>
          <t>• Option A/B nets scale linearly with users, assuming premium conversion % (~50%) and platform split (50/40/10) stay constant.</t>
        </is>
      </c>
    </row>
    <row r="27" ht="30" customHeight="1">
      <c r="A27" s="16" t="inlineStr">
        <is>
          <t>• Break-even shows the minimum user-base multiplier the App Store must deliver to match PWA-only net. Anything above break-even = native wins.</t>
        </is>
      </c>
    </row>
    <row r="28" ht="30" customHeight="1">
      <c r="A28" s="16" t="inlineStr">
        <is>
          <t>• Typical rule of thumb: adding App Store + Play Store distribution grows consumer app user base 1.5x–3x over pure PWA/web (highly dependent on category and marketing).</t>
        </is>
      </c>
    </row>
    <row r="29" ht="30" customHeight="1">
      <c r="A29" s="16" t="inlineStr">
        <is>
          <t>• Comics/collectibles apps tend toward the higher end of that range because app-store browsing is a common discovery path for niche-hobby apps.</t>
        </is>
      </c>
    </row>
    <row r="30" ht="30" customHeight="1">
      <c r="A30" s="16" t="inlineStr">
        <is>
          <t>• If you expect &lt;1.1x growth from native apps, Option A is essentially a wash — fees eat the incremental users. Above 1.5x, native clearly wins.</t>
        </is>
      </c>
    </row>
    <row r="31" ht="30" customHeight="1">
      <c r="A31" s="16" t="inlineStr">
        <is>
          <t>• Alternative play: stay PWA-only for v1, add native apps once organic traction is proven and you can afford the IAP engineering upfront.</t>
        </is>
      </c>
    </row>
  </sheetData>
  <mergeCells count="12">
    <mergeCell ref="A4:H4"/>
    <mergeCell ref="A26:H26"/>
    <mergeCell ref="A30:H30"/>
    <mergeCell ref="A29:H29"/>
    <mergeCell ref="A25:H25"/>
    <mergeCell ref="A24:H24"/>
    <mergeCell ref="A2:H2"/>
    <mergeCell ref="A10:H10"/>
    <mergeCell ref="A28:H28"/>
    <mergeCell ref="A1:H1"/>
    <mergeCell ref="A27:H27"/>
    <mergeCell ref="A31:H31"/>
  </mergeCells>
  <conditionalFormatting sqref="G12:G21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H12:H21">
    <cfRule type="cellIs" priority="3" operator="lessThan" dxfId="0">
      <formula>0</formula>
    </cfRule>
    <cfRule type="cellIs" priority="4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2026-04-21T00:12:28Z</dcterms:created>
  <dcterms:modified xmlns:dcterms="http://purl.org/dc/terms/" xmlns:xsi="http://www.w3.org/2001/XMLSchema-instance" xsi:type="dcterms:W3CDTF">2026-04-21T00:12:28Z</dcterms:modified>
</cp:coreProperties>
</file>